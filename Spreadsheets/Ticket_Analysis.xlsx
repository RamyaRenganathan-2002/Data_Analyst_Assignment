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ed97f98b04b8752/Desktop/"/>
    </mc:Choice>
  </mc:AlternateContent>
  <xr:revisionPtr revIDLastSave="0" documentId="8_{9C5552C4-D260-471A-9769-C8946A2B90DF}" xr6:coauthVersionLast="47" xr6:coauthVersionMax="47" xr10:uidLastSave="{00000000-0000-0000-0000-000000000000}"/>
  <bookViews>
    <workbookView xWindow="7896" yWindow="4296" windowWidth="12792" windowHeight="7308" activeTab="2" xr2:uid="{B7E71634-44F4-4F49-A83C-A4B1A126EBAC}"/>
  </bookViews>
  <sheets>
    <sheet name="ticket" sheetId="1" r:id="rId1"/>
    <sheet name="feedbacks" sheetId="2" r:id="rId2"/>
    <sheet name="analysis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4" l="1"/>
  <c r="C3" i="4"/>
  <c r="B3" i="4"/>
  <c r="B2" i="4"/>
  <c r="G3" i="1"/>
  <c r="G2" i="1"/>
  <c r="F3" i="1"/>
  <c r="F2" i="1"/>
  <c r="D2" i="2"/>
</calcChain>
</file>

<file path=xl/sharedStrings.xml><?xml version="1.0" encoding="utf-8"?>
<sst xmlns="http://schemas.openxmlformats.org/spreadsheetml/2006/main" count="22" uniqueCount="18">
  <si>
    <t>ticket_id</t>
  </si>
  <si>
    <t>created_at</t>
  </si>
  <si>
    <t>closed_at</t>
  </si>
  <si>
    <t>outlet_at</t>
  </si>
  <si>
    <t>cms_id</t>
  </si>
  <si>
    <t>isu-sjd-457</t>
  </si>
  <si>
    <t>wrqy-juv-978</t>
  </si>
  <si>
    <t>vew-iuvd-12</t>
  </si>
  <si>
    <t>qer-fal-092</t>
  </si>
  <si>
    <t>8woh-k3u-23b</t>
  </si>
  <si>
    <t>feedback_at</t>
  </si>
  <si>
    <t>feedback_rating</t>
  </si>
  <si>
    <t>ticket_created_at</t>
  </si>
  <si>
    <t>same_hour</t>
  </si>
  <si>
    <t>same_day</t>
  </si>
  <si>
    <t>outlet_id</t>
  </si>
  <si>
    <t>same_day_count</t>
  </si>
  <si>
    <t>same_hour_count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</si>
</sst>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3728D-263A-4308-8F3F-73B39516C8A1}">
  <dimension ref="A1:G3"/>
  <sheetViews>
    <sheetView workbookViewId="0">
      <selection activeCell="D3" sqref="D3"/>
    </sheetView>
  </sheetViews>
  <sheetFormatPr defaultRowHeight="14.4" x14ac:dyDescent="0.3"/>
  <cols>
    <col min="1" max="1" width="11.21875" customWidth="1"/>
    <col min="2" max="2" width="23.6640625" customWidth="1"/>
    <col min="3" max="3" width="18.109375" customWidth="1"/>
    <col min="4" max="4" width="12.5546875" customWidth="1"/>
    <col min="5" max="5" width="10.88671875" customWidth="1"/>
    <col min="6" max="6" width="11" customWidth="1"/>
    <col min="7" max="7" width="10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13</v>
      </c>
    </row>
    <row r="2" spans="1:7" x14ac:dyDescent="0.3">
      <c r="A2" t="s">
        <v>5</v>
      </c>
      <c r="B2" s="1">
        <v>44427.698414351849</v>
      </c>
      <c r="C2" s="1">
        <v>44249.523287037038</v>
      </c>
      <c r="D2" t="s">
        <v>6</v>
      </c>
      <c r="E2" t="s">
        <v>7</v>
      </c>
      <c r="F2" t="b">
        <f>INT(B2)=INT(C2)</f>
        <v>0</v>
      </c>
      <c r="G2" t="b">
        <f>AND(INT(B2)=INT(C2), HOUR(B2)=HOUR(C2))</f>
        <v>0</v>
      </c>
    </row>
    <row r="3" spans="1:7" x14ac:dyDescent="0.3">
      <c r="A3" t="s">
        <v>8</v>
      </c>
      <c r="B3" s="1">
        <v>44429.464837962965</v>
      </c>
      <c r="C3" s="1">
        <v>44248.717881944445</v>
      </c>
      <c r="D3" t="s">
        <v>9</v>
      </c>
      <c r="F3" t="b">
        <f>INT(B3)=INT(C3)</f>
        <v>0</v>
      </c>
      <c r="G3" t="b">
        <f>AND(INT(B3)=INT(C3), HOUR(B3)=HOUR(C3))</f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E0540-F388-443C-A555-48C0515517DA}">
  <dimension ref="A1:D2"/>
  <sheetViews>
    <sheetView workbookViewId="0">
      <selection activeCell="D2" sqref="D2"/>
    </sheetView>
  </sheetViews>
  <sheetFormatPr defaultRowHeight="14.4" x14ac:dyDescent="0.3"/>
  <cols>
    <col min="1" max="1" width="11" customWidth="1"/>
    <col min="2" max="2" width="21.77734375" customWidth="1"/>
    <col min="3" max="3" width="15" customWidth="1"/>
    <col min="4" max="4" width="19.33203125" customWidth="1"/>
  </cols>
  <sheetData>
    <row r="1" spans="1:4" x14ac:dyDescent="0.3">
      <c r="A1" t="s">
        <v>4</v>
      </c>
      <c r="B1" t="s">
        <v>10</v>
      </c>
      <c r="C1" t="s">
        <v>11</v>
      </c>
      <c r="D1" t="s">
        <v>12</v>
      </c>
    </row>
    <row r="2" spans="1:4" x14ac:dyDescent="0.3">
      <c r="A2" t="s">
        <v>7</v>
      </c>
      <c r="B2" s="1">
        <v>44429.560277777775</v>
      </c>
      <c r="C2">
        <v>3</v>
      </c>
      <c r="D2" s="1">
        <f>INDEX(ticket!$B:$B, MATCH(A2, ticket!$E:$E, 0))</f>
        <v>44427.698414351849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6D93-62C6-4176-99FD-A5605EC88E8A}">
  <dimension ref="A1:C3"/>
  <sheetViews>
    <sheetView tabSelected="1" workbookViewId="0">
      <selection activeCell="H7" sqref="H7"/>
    </sheetView>
  </sheetViews>
  <sheetFormatPr defaultRowHeight="14.4" x14ac:dyDescent="0.3"/>
  <cols>
    <col min="1" max="1" width="15.44140625" customWidth="1"/>
    <col min="2" max="2" width="17.6640625" customWidth="1"/>
    <col min="3" max="3" width="17.5546875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 t="s">
        <v>6</v>
      </c>
      <c r="B2">
        <f>COUNTIFS(ticket!$D:$D, A2, ticket!$F:$F, TRUE)</f>
        <v>0</v>
      </c>
      <c r="C2">
        <f>COUNTIFS(ticket!$D:$D, A2, ticket!$G:$G, TRUE)</f>
        <v>0</v>
      </c>
    </row>
    <row r="3" spans="1:3" x14ac:dyDescent="0.3">
      <c r="A3" t="s">
        <v>9</v>
      </c>
      <c r="B3">
        <f>COUNTIFS(ticket!$D:$D, A3, ticket!$F:$F, TRUE)</f>
        <v>0</v>
      </c>
      <c r="C3">
        <f>COUNTIFS(ticket!$D:$D, A3, ticket!$G:$G, TRUE)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</vt:lpstr>
      <vt:lpstr>feedbacks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renganathan</dc:creator>
  <cp:lastModifiedBy>ramya renganathan</cp:lastModifiedBy>
  <dcterms:created xsi:type="dcterms:W3CDTF">2026-04-08T16:17:06Z</dcterms:created>
  <dcterms:modified xsi:type="dcterms:W3CDTF">2026-04-08T18:34:47Z</dcterms:modified>
</cp:coreProperties>
</file>